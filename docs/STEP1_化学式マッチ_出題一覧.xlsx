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1 出題一覧" sheetId="1" state="visible" r:id="rId1"/>
    <sheet name="参考：出題されない物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666666"/>
      <sz val="9"/>
    </font>
    <font>
      <name val="Yu Gothic"/>
      <b val="1"/>
      <color rgb="00FFFFFF"/>
      <sz val="10"/>
    </font>
    <font>
      <name val="Arial"/>
      <sz val="11"/>
    </font>
    <font>
      <name val="Yu Gothic"/>
      <sz val="11"/>
    </font>
    <font>
      <name val="Yu Gothic"/>
      <b val="1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2FD"/>
      </patternFill>
    </fill>
    <fill>
      <patternFill patternType="solid">
        <fgColor rgb="00F2F5FA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C5CBD6"/>
      </left>
      <right style="thin">
        <color rgb="00C5CBD6"/>
      </right>
      <top style="thin">
        <color rgb="00C5CBD6"/>
      </top>
      <bottom style="thin">
        <color rgb="00C5CB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26" customWidth="1" min="5" max="5"/>
    <col width="14" customWidth="1" min="6" max="6"/>
  </cols>
  <sheetData>
    <row r="1" ht="22" customHeight="1">
      <c r="A1" s="1" t="inlineStr">
        <is>
          <t>STEP1「化学式マッチ」出題一覧</t>
        </is>
      </c>
    </row>
    <row r="2">
      <c r="A2" s="2" t="inlineStr">
        <is>
          <t>物質名 ⇔ 化学式を4択で対応づけるモード。1回の挑戦で20問がランダムに出題されます。　／　基本 24 物質・チャレンジ 25 物質（計 49 物質）</t>
        </is>
      </c>
    </row>
    <row r="3" ht="6" customHeight="1"/>
    <row r="4" ht="24" customHeight="1">
      <c r="A4" s="3" t="inlineStr">
        <is>
          <t>No.</t>
        </is>
      </c>
      <c r="B4" s="3" t="inlineStr">
        <is>
          <t>レベル</t>
        </is>
      </c>
      <c r="C4" s="3" t="inlineStr">
        <is>
          <t>化学式</t>
        </is>
      </c>
      <c r="D4" s="3" t="inlineStr">
        <is>
          <t>化学式（添字）</t>
        </is>
      </c>
      <c r="E4" s="3" t="inlineStr">
        <is>
          <t>物質名</t>
        </is>
      </c>
      <c r="F4" s="3" t="inlineStr">
        <is>
          <t>単体／化合物</t>
        </is>
      </c>
    </row>
    <row r="5">
      <c r="A5" s="4" t="n">
        <v>1</v>
      </c>
      <c r="B5" s="5" t="inlineStr">
        <is>
          <t>基本</t>
        </is>
      </c>
      <c r="C5" s="6" t="inlineStr">
        <is>
          <t>H2</t>
        </is>
      </c>
      <c r="D5" s="6" t="inlineStr">
        <is>
          <t>H₂</t>
        </is>
      </c>
      <c r="E5" s="7" t="inlineStr">
        <is>
          <t>水素</t>
        </is>
      </c>
      <c r="F5" s="8" t="inlineStr">
        <is>
          <t>単体</t>
        </is>
      </c>
    </row>
    <row r="6">
      <c r="A6" s="9" t="n">
        <v>2</v>
      </c>
      <c r="B6" s="5" t="inlineStr">
        <is>
          <t>基本</t>
        </is>
      </c>
      <c r="C6" s="10" t="inlineStr">
        <is>
          <t>O2</t>
        </is>
      </c>
      <c r="D6" s="10" t="inlineStr">
        <is>
          <t>O₂</t>
        </is>
      </c>
      <c r="E6" s="11" t="inlineStr">
        <is>
          <t>酸素</t>
        </is>
      </c>
      <c r="F6" s="12" t="inlineStr">
        <is>
          <t>単体</t>
        </is>
      </c>
    </row>
    <row r="7">
      <c r="A7" s="4" t="n">
        <v>3</v>
      </c>
      <c r="B7" s="5" t="inlineStr">
        <is>
          <t>基本</t>
        </is>
      </c>
      <c r="C7" s="6" t="inlineStr">
        <is>
          <t>N2</t>
        </is>
      </c>
      <c r="D7" s="6" t="inlineStr">
        <is>
          <t>N₂</t>
        </is>
      </c>
      <c r="E7" s="7" t="inlineStr">
        <is>
          <t>窒素</t>
        </is>
      </c>
      <c r="F7" s="8" t="inlineStr">
        <is>
          <t>単体</t>
        </is>
      </c>
    </row>
    <row r="8">
      <c r="A8" s="9" t="n">
        <v>4</v>
      </c>
      <c r="B8" s="5" t="inlineStr">
        <is>
          <t>基本</t>
        </is>
      </c>
      <c r="C8" s="10" t="inlineStr">
        <is>
          <t>Cl2</t>
        </is>
      </c>
      <c r="D8" s="10" t="inlineStr">
        <is>
          <t>Cl₂</t>
        </is>
      </c>
      <c r="E8" s="11" t="inlineStr">
        <is>
          <t>塩素</t>
        </is>
      </c>
      <c r="F8" s="12" t="inlineStr">
        <is>
          <t>単体</t>
        </is>
      </c>
    </row>
    <row r="9">
      <c r="A9" s="4" t="n">
        <v>5</v>
      </c>
      <c r="B9" s="5" t="inlineStr">
        <is>
          <t>基本</t>
        </is>
      </c>
      <c r="C9" s="6" t="inlineStr">
        <is>
          <t>C</t>
        </is>
      </c>
      <c r="D9" s="6" t="inlineStr">
        <is>
          <t>C</t>
        </is>
      </c>
      <c r="E9" s="7" t="inlineStr">
        <is>
          <t>炭素</t>
        </is>
      </c>
      <c r="F9" s="8" t="inlineStr">
        <is>
          <t>単体</t>
        </is>
      </c>
    </row>
    <row r="10">
      <c r="A10" s="9" t="n">
        <v>6</v>
      </c>
      <c r="B10" s="5" t="inlineStr">
        <is>
          <t>基本</t>
        </is>
      </c>
      <c r="C10" s="10" t="inlineStr">
        <is>
          <t>S</t>
        </is>
      </c>
      <c r="D10" s="10" t="inlineStr">
        <is>
          <t>S</t>
        </is>
      </c>
      <c r="E10" s="11" t="inlineStr">
        <is>
          <t>硫黄</t>
        </is>
      </c>
      <c r="F10" s="12" t="inlineStr">
        <is>
          <t>単体</t>
        </is>
      </c>
    </row>
    <row r="11">
      <c r="A11" s="4" t="n">
        <v>7</v>
      </c>
      <c r="B11" s="5" t="inlineStr">
        <is>
          <t>基本</t>
        </is>
      </c>
      <c r="C11" s="6" t="inlineStr">
        <is>
          <t>Fe</t>
        </is>
      </c>
      <c r="D11" s="6" t="inlineStr">
        <is>
          <t>Fe</t>
        </is>
      </c>
      <c r="E11" s="7" t="inlineStr">
        <is>
          <t>鉄</t>
        </is>
      </c>
      <c r="F11" s="8" t="inlineStr">
        <is>
          <t>単体</t>
        </is>
      </c>
    </row>
    <row r="12">
      <c r="A12" s="9" t="n">
        <v>8</v>
      </c>
      <c r="B12" s="5" t="inlineStr">
        <is>
          <t>基本</t>
        </is>
      </c>
      <c r="C12" s="10" t="inlineStr">
        <is>
          <t>Cu</t>
        </is>
      </c>
      <c r="D12" s="10" t="inlineStr">
        <is>
          <t>Cu</t>
        </is>
      </c>
      <c r="E12" s="11" t="inlineStr">
        <is>
          <t>銅</t>
        </is>
      </c>
      <c r="F12" s="12" t="inlineStr">
        <is>
          <t>単体</t>
        </is>
      </c>
    </row>
    <row r="13">
      <c r="A13" s="4" t="n">
        <v>9</v>
      </c>
      <c r="B13" s="5" t="inlineStr">
        <is>
          <t>基本</t>
        </is>
      </c>
      <c r="C13" s="6" t="inlineStr">
        <is>
          <t>Mg</t>
        </is>
      </c>
      <c r="D13" s="6" t="inlineStr">
        <is>
          <t>Mg</t>
        </is>
      </c>
      <c r="E13" s="7" t="inlineStr">
        <is>
          <t>マグネシウム</t>
        </is>
      </c>
      <c r="F13" s="8" t="inlineStr">
        <is>
          <t>単体</t>
        </is>
      </c>
    </row>
    <row r="14">
      <c r="A14" s="9" t="n">
        <v>10</v>
      </c>
      <c r="B14" s="5" t="inlineStr">
        <is>
          <t>基本</t>
        </is>
      </c>
      <c r="C14" s="10" t="inlineStr">
        <is>
          <t>Ag</t>
        </is>
      </c>
      <c r="D14" s="10" t="inlineStr">
        <is>
          <t>Ag</t>
        </is>
      </c>
      <c r="E14" s="11" t="inlineStr">
        <is>
          <t>銀</t>
        </is>
      </c>
      <c r="F14" s="12" t="inlineStr">
        <is>
          <t>単体</t>
        </is>
      </c>
    </row>
    <row r="15">
      <c r="A15" s="4" t="n">
        <v>11</v>
      </c>
      <c r="B15" s="5" t="inlineStr">
        <is>
          <t>基本</t>
        </is>
      </c>
      <c r="C15" s="6" t="inlineStr">
        <is>
          <t>Zn</t>
        </is>
      </c>
      <c r="D15" s="6" t="inlineStr">
        <is>
          <t>Zn</t>
        </is>
      </c>
      <c r="E15" s="7" t="inlineStr">
        <is>
          <t>亜鉛</t>
        </is>
      </c>
      <c r="F15" s="8" t="inlineStr">
        <is>
          <t>単体</t>
        </is>
      </c>
    </row>
    <row r="16">
      <c r="A16" s="9" t="n">
        <v>12</v>
      </c>
      <c r="B16" s="5" t="inlineStr">
        <is>
          <t>基本</t>
        </is>
      </c>
      <c r="C16" s="10" t="inlineStr">
        <is>
          <t>Al</t>
        </is>
      </c>
      <c r="D16" s="10" t="inlineStr">
        <is>
          <t>Al</t>
        </is>
      </c>
      <c r="E16" s="11" t="inlineStr">
        <is>
          <t>アルミニウム</t>
        </is>
      </c>
      <c r="F16" s="12" t="inlineStr">
        <is>
          <t>単体</t>
        </is>
      </c>
    </row>
    <row r="17">
      <c r="A17" s="4" t="n">
        <v>13</v>
      </c>
      <c r="B17" s="5" t="inlineStr">
        <is>
          <t>基本</t>
        </is>
      </c>
      <c r="C17" s="6" t="inlineStr">
        <is>
          <t>H2O</t>
        </is>
      </c>
      <c r="D17" s="6" t="inlineStr">
        <is>
          <t>H₂O</t>
        </is>
      </c>
      <c r="E17" s="7" t="inlineStr">
        <is>
          <t>水</t>
        </is>
      </c>
      <c r="F17" s="8" t="inlineStr">
        <is>
          <t>化合物</t>
        </is>
      </c>
    </row>
    <row r="18">
      <c r="A18" s="9" t="n">
        <v>14</v>
      </c>
      <c r="B18" s="5" t="inlineStr">
        <is>
          <t>基本</t>
        </is>
      </c>
      <c r="C18" s="10" t="inlineStr">
        <is>
          <t>CO2</t>
        </is>
      </c>
      <c r="D18" s="10" t="inlineStr">
        <is>
          <t>CO₂</t>
        </is>
      </c>
      <c r="E18" s="11" t="inlineStr">
        <is>
          <t>二酸化炭素</t>
        </is>
      </c>
      <c r="F18" s="12" t="inlineStr">
        <is>
          <t>化合物</t>
        </is>
      </c>
    </row>
    <row r="19">
      <c r="A19" s="4" t="n">
        <v>15</v>
      </c>
      <c r="B19" s="5" t="inlineStr">
        <is>
          <t>基本</t>
        </is>
      </c>
      <c r="C19" s="6" t="inlineStr">
        <is>
          <t>NH3</t>
        </is>
      </c>
      <c r="D19" s="6" t="inlineStr">
        <is>
          <t>NH₃</t>
        </is>
      </c>
      <c r="E19" s="7" t="inlineStr">
        <is>
          <t>アンモニア</t>
        </is>
      </c>
      <c r="F19" s="8" t="inlineStr">
        <is>
          <t>化合物</t>
        </is>
      </c>
    </row>
    <row r="20">
      <c r="A20" s="9" t="n">
        <v>16</v>
      </c>
      <c r="B20" s="5" t="inlineStr">
        <is>
          <t>基本</t>
        </is>
      </c>
      <c r="C20" s="10" t="inlineStr">
        <is>
          <t>CuO</t>
        </is>
      </c>
      <c r="D20" s="10" t="inlineStr">
        <is>
          <t>CuO</t>
        </is>
      </c>
      <c r="E20" s="11" t="inlineStr">
        <is>
          <t>酸化銅</t>
        </is>
      </c>
      <c r="F20" s="12" t="inlineStr">
        <is>
          <t>化合物</t>
        </is>
      </c>
    </row>
    <row r="21">
      <c r="A21" s="4" t="n">
        <v>17</v>
      </c>
      <c r="B21" s="5" t="inlineStr">
        <is>
          <t>基本</t>
        </is>
      </c>
      <c r="C21" s="6" t="inlineStr">
        <is>
          <t>MgO</t>
        </is>
      </c>
      <c r="D21" s="6" t="inlineStr">
        <is>
          <t>MgO</t>
        </is>
      </c>
      <c r="E21" s="7" t="inlineStr">
        <is>
          <t>酸化マグネシウム</t>
        </is>
      </c>
      <c r="F21" s="8" t="inlineStr">
        <is>
          <t>化合物</t>
        </is>
      </c>
    </row>
    <row r="22">
      <c r="A22" s="9" t="n">
        <v>18</v>
      </c>
      <c r="B22" s="5" t="inlineStr">
        <is>
          <t>基本</t>
        </is>
      </c>
      <c r="C22" s="10" t="inlineStr">
        <is>
          <t>Ag2O</t>
        </is>
      </c>
      <c r="D22" s="10" t="inlineStr">
        <is>
          <t>Ag₂O</t>
        </is>
      </c>
      <c r="E22" s="11" t="inlineStr">
        <is>
          <t>酸化銀</t>
        </is>
      </c>
      <c r="F22" s="12" t="inlineStr">
        <is>
          <t>化合物</t>
        </is>
      </c>
    </row>
    <row r="23">
      <c r="A23" s="4" t="n">
        <v>19</v>
      </c>
      <c r="B23" s="5" t="inlineStr">
        <is>
          <t>基本</t>
        </is>
      </c>
      <c r="C23" s="6" t="inlineStr">
        <is>
          <t>FeS</t>
        </is>
      </c>
      <c r="D23" s="6" t="inlineStr">
        <is>
          <t>FeS</t>
        </is>
      </c>
      <c r="E23" s="7" t="inlineStr">
        <is>
          <t>硫化鉄(Ⅱ)</t>
        </is>
      </c>
      <c r="F23" s="8" t="inlineStr">
        <is>
          <t>化合物</t>
        </is>
      </c>
    </row>
    <row r="24">
      <c r="A24" s="9" t="n">
        <v>20</v>
      </c>
      <c r="B24" s="5" t="inlineStr">
        <is>
          <t>基本</t>
        </is>
      </c>
      <c r="C24" s="10" t="inlineStr">
        <is>
          <t>CuS</t>
        </is>
      </c>
      <c r="D24" s="10" t="inlineStr">
        <is>
          <t>CuS</t>
        </is>
      </c>
      <c r="E24" s="11" t="inlineStr">
        <is>
          <t>硫化銅</t>
        </is>
      </c>
      <c r="F24" s="12" t="inlineStr">
        <is>
          <t>化合物</t>
        </is>
      </c>
    </row>
    <row r="25">
      <c r="A25" s="4" t="n">
        <v>21</v>
      </c>
      <c r="B25" s="5" t="inlineStr">
        <is>
          <t>基本</t>
        </is>
      </c>
      <c r="C25" s="6" t="inlineStr">
        <is>
          <t>CuCl2</t>
        </is>
      </c>
      <c r="D25" s="6" t="inlineStr">
        <is>
          <t>CuCl₂</t>
        </is>
      </c>
      <c r="E25" s="7" t="inlineStr">
        <is>
          <t>塩化銅</t>
        </is>
      </c>
      <c r="F25" s="8" t="inlineStr">
        <is>
          <t>化合物</t>
        </is>
      </c>
    </row>
    <row r="26">
      <c r="A26" s="9" t="n">
        <v>22</v>
      </c>
      <c r="B26" s="5" t="inlineStr">
        <is>
          <t>基本</t>
        </is>
      </c>
      <c r="C26" s="10" t="inlineStr">
        <is>
          <t>NaHCO3</t>
        </is>
      </c>
      <c r="D26" s="10" t="inlineStr">
        <is>
          <t>NaHCO₃</t>
        </is>
      </c>
      <c r="E26" s="11" t="inlineStr">
        <is>
          <t>炭酸水素ナトリウム</t>
        </is>
      </c>
      <c r="F26" s="12" t="inlineStr">
        <is>
          <t>化合物</t>
        </is>
      </c>
    </row>
    <row r="27">
      <c r="A27" s="4" t="n">
        <v>23</v>
      </c>
      <c r="B27" s="5" t="inlineStr">
        <is>
          <t>基本</t>
        </is>
      </c>
      <c r="C27" s="6" t="inlineStr">
        <is>
          <t>Na2CO3</t>
        </is>
      </c>
      <c r="D27" s="6" t="inlineStr">
        <is>
          <t>Na₂CO₃</t>
        </is>
      </c>
      <c r="E27" s="7" t="inlineStr">
        <is>
          <t>炭酸ナトリウム</t>
        </is>
      </c>
      <c r="F27" s="8" t="inlineStr">
        <is>
          <t>化合物</t>
        </is>
      </c>
    </row>
    <row r="28">
      <c r="A28" s="9" t="n">
        <v>24</v>
      </c>
      <c r="B28" s="5" t="inlineStr">
        <is>
          <t>基本</t>
        </is>
      </c>
      <c r="C28" s="10" t="inlineStr">
        <is>
          <t>NaCl</t>
        </is>
      </c>
      <c r="D28" s="10" t="inlineStr">
        <is>
          <t>NaCl</t>
        </is>
      </c>
      <c r="E28" s="11" t="inlineStr">
        <is>
          <t>塩化ナトリウム</t>
        </is>
      </c>
      <c r="F28" s="12" t="inlineStr">
        <is>
          <t>化合物</t>
        </is>
      </c>
    </row>
    <row r="29">
      <c r="A29" s="4" t="n">
        <v>25</v>
      </c>
      <c r="B29" s="13" t="inlineStr">
        <is>
          <t>チャレンジ</t>
        </is>
      </c>
      <c r="C29" s="6" t="inlineStr">
        <is>
          <t>SO2</t>
        </is>
      </c>
      <c r="D29" s="6" t="inlineStr">
        <is>
          <t>SO₂</t>
        </is>
      </c>
      <c r="E29" s="7" t="inlineStr">
        <is>
          <t>二酸化硫黄</t>
        </is>
      </c>
      <c r="F29" s="8" t="inlineStr">
        <is>
          <t>化合物</t>
        </is>
      </c>
    </row>
    <row r="30">
      <c r="A30" s="9" t="n">
        <v>26</v>
      </c>
      <c r="B30" s="13" t="inlineStr">
        <is>
          <t>チャレンジ</t>
        </is>
      </c>
      <c r="C30" s="10" t="inlineStr">
        <is>
          <t>H2S</t>
        </is>
      </c>
      <c r="D30" s="10" t="inlineStr">
        <is>
          <t>H₂S</t>
        </is>
      </c>
      <c r="E30" s="11" t="inlineStr">
        <is>
          <t>硫化水素</t>
        </is>
      </c>
      <c r="F30" s="12" t="inlineStr">
        <is>
          <t>化合物</t>
        </is>
      </c>
    </row>
    <row r="31">
      <c r="A31" s="4" t="n">
        <v>27</v>
      </c>
      <c r="B31" s="13" t="inlineStr">
        <is>
          <t>チャレンジ</t>
        </is>
      </c>
      <c r="C31" s="6" t="inlineStr">
        <is>
          <t>H2O2</t>
        </is>
      </c>
      <c r="D31" s="6" t="inlineStr">
        <is>
          <t>H₂O₂</t>
        </is>
      </c>
      <c r="E31" s="7" t="inlineStr">
        <is>
          <t>過酸化水素</t>
        </is>
      </c>
      <c r="F31" s="8" t="inlineStr">
        <is>
          <t>化合物</t>
        </is>
      </c>
    </row>
    <row r="32">
      <c r="A32" s="9" t="n">
        <v>28</v>
      </c>
      <c r="B32" s="13" t="inlineStr">
        <is>
          <t>チャレンジ</t>
        </is>
      </c>
      <c r="C32" s="10" t="inlineStr">
        <is>
          <t>H2CO3</t>
        </is>
      </c>
      <c r="D32" s="10" t="inlineStr">
        <is>
          <t>H₂CO₃</t>
        </is>
      </c>
      <c r="E32" s="11" t="inlineStr">
        <is>
          <t>炭酸</t>
        </is>
      </c>
      <c r="F32" s="12" t="inlineStr">
        <is>
          <t>化合物</t>
        </is>
      </c>
    </row>
    <row r="33">
      <c r="A33" s="4" t="n">
        <v>29</v>
      </c>
      <c r="B33" s="13" t="inlineStr">
        <is>
          <t>チャレンジ</t>
        </is>
      </c>
      <c r="C33" s="6" t="inlineStr">
        <is>
          <t>CH4</t>
        </is>
      </c>
      <c r="D33" s="6" t="inlineStr">
        <is>
          <t>CH₄</t>
        </is>
      </c>
      <c r="E33" s="7" t="inlineStr">
        <is>
          <t>メタン</t>
        </is>
      </c>
      <c r="F33" s="8" t="inlineStr">
        <is>
          <t>化合物</t>
        </is>
      </c>
    </row>
    <row r="34">
      <c r="A34" s="9" t="n">
        <v>30</v>
      </c>
      <c r="B34" s="13" t="inlineStr">
        <is>
          <t>チャレンジ</t>
        </is>
      </c>
      <c r="C34" s="10" t="inlineStr">
        <is>
          <t>HCl</t>
        </is>
      </c>
      <c r="D34" s="10" t="inlineStr">
        <is>
          <t>HCl</t>
        </is>
      </c>
      <c r="E34" s="11" t="inlineStr">
        <is>
          <t>塩化水素（塩酸）</t>
        </is>
      </c>
      <c r="F34" s="12" t="inlineStr">
        <is>
          <t>化合物</t>
        </is>
      </c>
    </row>
    <row r="35">
      <c r="A35" s="4" t="n">
        <v>31</v>
      </c>
      <c r="B35" s="13" t="inlineStr">
        <is>
          <t>チャレンジ</t>
        </is>
      </c>
      <c r="C35" s="6" t="inlineStr">
        <is>
          <t>H2SO4</t>
        </is>
      </c>
      <c r="D35" s="6" t="inlineStr">
        <is>
          <t>H₂SO₄</t>
        </is>
      </c>
      <c r="E35" s="7" t="inlineStr">
        <is>
          <t>硫酸</t>
        </is>
      </c>
      <c r="F35" s="8" t="inlineStr">
        <is>
          <t>化合物</t>
        </is>
      </c>
    </row>
    <row r="36">
      <c r="A36" s="9" t="n">
        <v>32</v>
      </c>
      <c r="B36" s="13" t="inlineStr">
        <is>
          <t>チャレンジ</t>
        </is>
      </c>
      <c r="C36" s="10" t="inlineStr">
        <is>
          <t>NaOH</t>
        </is>
      </c>
      <c r="D36" s="10" t="inlineStr">
        <is>
          <t>NaOH</t>
        </is>
      </c>
      <c r="E36" s="11" t="inlineStr">
        <is>
          <t>水酸化ナトリウム</t>
        </is>
      </c>
      <c r="F36" s="12" t="inlineStr">
        <is>
          <t>化合物</t>
        </is>
      </c>
    </row>
    <row r="37">
      <c r="A37" s="4" t="n">
        <v>33</v>
      </c>
      <c r="B37" s="13" t="inlineStr">
        <is>
          <t>チャレンジ</t>
        </is>
      </c>
      <c r="C37" s="6" t="inlineStr">
        <is>
          <t>KOH</t>
        </is>
      </c>
      <c r="D37" s="6" t="inlineStr">
        <is>
          <t>KOH</t>
        </is>
      </c>
      <c r="E37" s="7" t="inlineStr">
        <is>
          <t>水酸化カリウム</t>
        </is>
      </c>
      <c r="F37" s="8" t="inlineStr">
        <is>
          <t>化合物</t>
        </is>
      </c>
    </row>
    <row r="38">
      <c r="A38" s="9" t="n">
        <v>34</v>
      </c>
      <c r="B38" s="13" t="inlineStr">
        <is>
          <t>チャレンジ</t>
        </is>
      </c>
      <c r="C38" s="10" t="inlineStr">
        <is>
          <t>Ca(OH)2</t>
        </is>
      </c>
      <c r="D38" s="10" t="inlineStr">
        <is>
          <t>Ca(OH)₂</t>
        </is>
      </c>
      <c r="E38" s="11" t="inlineStr">
        <is>
          <t>水酸化カルシウム</t>
        </is>
      </c>
      <c r="F38" s="12" t="inlineStr">
        <is>
          <t>化合物</t>
        </is>
      </c>
    </row>
    <row r="39">
      <c r="A39" s="4" t="n">
        <v>35</v>
      </c>
      <c r="B39" s="13" t="inlineStr">
        <is>
          <t>チャレンジ</t>
        </is>
      </c>
      <c r="C39" s="6" t="inlineStr">
        <is>
          <t>Ba(OH)2</t>
        </is>
      </c>
      <c r="D39" s="6" t="inlineStr">
        <is>
          <t>Ba(OH)₂</t>
        </is>
      </c>
      <c r="E39" s="7" t="inlineStr">
        <is>
          <t>水酸化バリウム</t>
        </is>
      </c>
      <c r="F39" s="8" t="inlineStr">
        <is>
          <t>化合物</t>
        </is>
      </c>
    </row>
    <row r="40">
      <c r="A40" s="9" t="n">
        <v>36</v>
      </c>
      <c r="B40" s="13" t="inlineStr">
        <is>
          <t>チャレンジ</t>
        </is>
      </c>
      <c r="C40" s="10" t="inlineStr">
        <is>
          <t>CaCO3</t>
        </is>
      </c>
      <c r="D40" s="10" t="inlineStr">
        <is>
          <t>CaCO₃</t>
        </is>
      </c>
      <c r="E40" s="11" t="inlineStr">
        <is>
          <t>炭酸カルシウム</t>
        </is>
      </c>
      <c r="F40" s="12" t="inlineStr">
        <is>
          <t>化合物</t>
        </is>
      </c>
    </row>
    <row r="41">
      <c r="A41" s="4" t="n">
        <v>37</v>
      </c>
      <c r="B41" s="13" t="inlineStr">
        <is>
          <t>チャレンジ</t>
        </is>
      </c>
      <c r="C41" s="6" t="inlineStr">
        <is>
          <t>K2CO3</t>
        </is>
      </c>
      <c r="D41" s="6" t="inlineStr">
        <is>
          <t>K₂CO₃</t>
        </is>
      </c>
      <c r="E41" s="7" t="inlineStr">
        <is>
          <t>炭酸カリウム</t>
        </is>
      </c>
      <c r="F41" s="8" t="inlineStr">
        <is>
          <t>化合物</t>
        </is>
      </c>
    </row>
    <row r="42">
      <c r="A42" s="9" t="n">
        <v>38</v>
      </c>
      <c r="B42" s="13" t="inlineStr">
        <is>
          <t>チャレンジ</t>
        </is>
      </c>
      <c r="C42" s="10" t="inlineStr">
        <is>
          <t>CaO</t>
        </is>
      </c>
      <c r="D42" s="10" t="inlineStr">
        <is>
          <t>CaO</t>
        </is>
      </c>
      <c r="E42" s="11" t="inlineStr">
        <is>
          <t>酸化カルシウム</t>
        </is>
      </c>
      <c r="F42" s="12" t="inlineStr">
        <is>
          <t>化合物</t>
        </is>
      </c>
    </row>
    <row r="43">
      <c r="A43" s="4" t="n">
        <v>39</v>
      </c>
      <c r="B43" s="13" t="inlineStr">
        <is>
          <t>チャレンジ</t>
        </is>
      </c>
      <c r="C43" s="6" t="inlineStr">
        <is>
          <t>MgCl2</t>
        </is>
      </c>
      <c r="D43" s="6" t="inlineStr">
        <is>
          <t>MgCl₂</t>
        </is>
      </c>
      <c r="E43" s="7" t="inlineStr">
        <is>
          <t>塩化マグネシウム</t>
        </is>
      </c>
      <c r="F43" s="8" t="inlineStr">
        <is>
          <t>化合物</t>
        </is>
      </c>
    </row>
    <row r="44">
      <c r="A44" s="9" t="n">
        <v>40</v>
      </c>
      <c r="B44" s="13" t="inlineStr">
        <is>
          <t>チャレンジ</t>
        </is>
      </c>
      <c r="C44" s="10" t="inlineStr">
        <is>
          <t>FeCl2</t>
        </is>
      </c>
      <c r="D44" s="10" t="inlineStr">
        <is>
          <t>FeCl₂</t>
        </is>
      </c>
      <c r="E44" s="11" t="inlineStr">
        <is>
          <t>塩化鉄(Ⅱ)</t>
        </is>
      </c>
      <c r="F44" s="12" t="inlineStr">
        <is>
          <t>化合物</t>
        </is>
      </c>
    </row>
    <row r="45">
      <c r="A45" s="4" t="n">
        <v>41</v>
      </c>
      <c r="B45" s="13" t="inlineStr">
        <is>
          <t>チャレンジ</t>
        </is>
      </c>
      <c r="C45" s="6" t="inlineStr">
        <is>
          <t>ZnCl2</t>
        </is>
      </c>
      <c r="D45" s="6" t="inlineStr">
        <is>
          <t>ZnCl₂</t>
        </is>
      </c>
      <c r="E45" s="7" t="inlineStr">
        <is>
          <t>塩化亜鉛</t>
        </is>
      </c>
      <c r="F45" s="8" t="inlineStr">
        <is>
          <t>化合物</t>
        </is>
      </c>
    </row>
    <row r="46">
      <c r="A46" s="9" t="n">
        <v>42</v>
      </c>
      <c r="B46" s="13" t="inlineStr">
        <is>
          <t>チャレンジ</t>
        </is>
      </c>
      <c r="C46" s="10" t="inlineStr">
        <is>
          <t>CaCl2</t>
        </is>
      </c>
      <c r="D46" s="10" t="inlineStr">
        <is>
          <t>CaCl₂</t>
        </is>
      </c>
      <c r="E46" s="11" t="inlineStr">
        <is>
          <t>塩化カルシウム</t>
        </is>
      </c>
      <c r="F46" s="12" t="inlineStr">
        <is>
          <t>化合物</t>
        </is>
      </c>
    </row>
    <row r="47">
      <c r="A47" s="4" t="n">
        <v>43</v>
      </c>
      <c r="B47" s="13" t="inlineStr">
        <is>
          <t>チャレンジ</t>
        </is>
      </c>
      <c r="C47" s="6" t="inlineStr">
        <is>
          <t>AlCl3</t>
        </is>
      </c>
      <c r="D47" s="6" t="inlineStr">
        <is>
          <t>AlCl₃</t>
        </is>
      </c>
      <c r="E47" s="7" t="inlineStr">
        <is>
          <t>塩化アルミニウム</t>
        </is>
      </c>
      <c r="F47" s="8" t="inlineStr">
        <is>
          <t>化合物</t>
        </is>
      </c>
    </row>
    <row r="48">
      <c r="A48" s="9" t="n">
        <v>44</v>
      </c>
      <c r="B48" s="13" t="inlineStr">
        <is>
          <t>チャレンジ</t>
        </is>
      </c>
      <c r="C48" s="10" t="inlineStr">
        <is>
          <t>NH4Cl</t>
        </is>
      </c>
      <c r="D48" s="10" t="inlineStr">
        <is>
          <t>NH₄Cl</t>
        </is>
      </c>
      <c r="E48" s="11" t="inlineStr">
        <is>
          <t>塩化アンモニウム</t>
        </is>
      </c>
      <c r="F48" s="12" t="inlineStr">
        <is>
          <t>化合物</t>
        </is>
      </c>
    </row>
    <row r="49">
      <c r="A49" s="4" t="n">
        <v>45</v>
      </c>
      <c r="B49" s="13" t="inlineStr">
        <is>
          <t>チャレンジ</t>
        </is>
      </c>
      <c r="C49" s="6" t="inlineStr">
        <is>
          <t>BaCl2</t>
        </is>
      </c>
      <c r="D49" s="6" t="inlineStr">
        <is>
          <t>BaCl₂</t>
        </is>
      </c>
      <c r="E49" s="7" t="inlineStr">
        <is>
          <t>塩化バリウム</t>
        </is>
      </c>
      <c r="F49" s="8" t="inlineStr">
        <is>
          <t>化合物</t>
        </is>
      </c>
    </row>
    <row r="50">
      <c r="A50" s="9" t="n">
        <v>46</v>
      </c>
      <c r="B50" s="13" t="inlineStr">
        <is>
          <t>チャレンジ</t>
        </is>
      </c>
      <c r="C50" s="10" t="inlineStr">
        <is>
          <t>BaSO4</t>
        </is>
      </c>
      <c r="D50" s="10" t="inlineStr">
        <is>
          <t>BaSO₄</t>
        </is>
      </c>
      <c r="E50" s="11" t="inlineStr">
        <is>
          <t>硫酸バリウム</t>
        </is>
      </c>
      <c r="F50" s="12" t="inlineStr">
        <is>
          <t>化合物</t>
        </is>
      </c>
    </row>
    <row r="51">
      <c r="A51" s="4" t="n">
        <v>47</v>
      </c>
      <c r="B51" s="13" t="inlineStr">
        <is>
          <t>チャレンジ</t>
        </is>
      </c>
      <c r="C51" s="6" t="inlineStr">
        <is>
          <t>ZnSO4</t>
        </is>
      </c>
      <c r="D51" s="6" t="inlineStr">
        <is>
          <t>ZnSO₄</t>
        </is>
      </c>
      <c r="E51" s="7" t="inlineStr">
        <is>
          <t>硫酸亜鉛</t>
        </is>
      </c>
      <c r="F51" s="8" t="inlineStr">
        <is>
          <t>化合物</t>
        </is>
      </c>
    </row>
    <row r="52">
      <c r="A52" s="9" t="n">
        <v>48</v>
      </c>
      <c r="B52" s="13" t="inlineStr">
        <is>
          <t>チャレンジ</t>
        </is>
      </c>
      <c r="C52" s="10" t="inlineStr">
        <is>
          <t>FeSO4</t>
        </is>
      </c>
      <c r="D52" s="10" t="inlineStr">
        <is>
          <t>FeSO₄</t>
        </is>
      </c>
      <c r="E52" s="11" t="inlineStr">
        <is>
          <t>硫酸鉄(Ⅱ)</t>
        </is>
      </c>
      <c r="F52" s="12" t="inlineStr">
        <is>
          <t>化合物</t>
        </is>
      </c>
    </row>
    <row r="53">
      <c r="A53" s="4" t="n">
        <v>49</v>
      </c>
      <c r="B53" s="13" t="inlineStr">
        <is>
          <t>チャレンジ</t>
        </is>
      </c>
      <c r="C53" s="6" t="inlineStr">
        <is>
          <t>CaSO4</t>
        </is>
      </c>
      <c r="D53" s="6" t="inlineStr">
        <is>
          <t>CaSO₄</t>
        </is>
      </c>
      <c r="E53" s="7" t="inlineStr">
        <is>
          <t>硫酸カルシウム</t>
        </is>
      </c>
      <c r="F53" s="8" t="inlineStr">
        <is>
          <t>化合物</t>
        </is>
      </c>
    </row>
    <row r="55">
      <c r="B55" s="14" t="inlineStr">
        <is>
          <t>基本</t>
        </is>
      </c>
      <c r="C55" s="15">
        <f>COUNTIF(B5:B53,"基本")</f>
        <v/>
      </c>
    </row>
    <row r="56">
      <c r="B56" s="14" t="inlineStr">
        <is>
          <t>チャレンジ</t>
        </is>
      </c>
      <c r="C56" s="15">
        <f>COUNTIF(B5:B53,"チャレンジ")</f>
        <v/>
      </c>
    </row>
    <row r="57">
      <c r="B57" s="14" t="inlineStr">
        <is>
          <t>合計</t>
        </is>
      </c>
      <c r="C57" s="15">
        <f>SUM(C55:C56)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6" customWidth="1" min="4" max="4"/>
    <col width="26" customWidth="1" min="5" max="5"/>
    <col width="14" customWidth="1" min="6" max="6"/>
  </cols>
  <sheetData>
    <row r="1" ht="22" customHeight="1">
      <c r="A1" s="1" t="inlineStr">
        <is>
          <t>参考：反応式には出てくるが STEP1 では出題されない物質</t>
        </is>
      </c>
    </row>
    <row r="2">
      <c r="A2" s="2" t="inlineStr">
        <is>
          <t>STEP2〜FINAL の反応式やカードには登場しますが、化学式マッチの4択には出しません（src/data.js の q: 0）。</t>
        </is>
      </c>
    </row>
    <row r="3" ht="6" customHeight="1"/>
    <row r="4" ht="24" customHeight="1">
      <c r="A4" s="3" t="inlineStr">
        <is>
          <t>No.</t>
        </is>
      </c>
      <c r="B4" s="3" t="inlineStr">
        <is>
          <t>レベル</t>
        </is>
      </c>
      <c r="C4" s="3" t="inlineStr">
        <is>
          <t>化学式</t>
        </is>
      </c>
      <c r="D4" s="3" t="inlineStr">
        <is>
          <t>化学式（添字）</t>
        </is>
      </c>
      <c r="E4" s="3" t="inlineStr">
        <is>
          <t>物質名</t>
        </is>
      </c>
      <c r="F4" s="3" t="inlineStr">
        <is>
          <t>単体／化合物</t>
        </is>
      </c>
    </row>
    <row r="5">
      <c r="A5" s="4" t="n">
        <v>1</v>
      </c>
      <c r="B5" s="16" t="inlineStr">
        <is>
          <t>出題なし</t>
        </is>
      </c>
      <c r="C5" s="6" t="inlineStr">
        <is>
          <t>Fe3O4</t>
        </is>
      </c>
      <c r="D5" s="6" t="inlineStr">
        <is>
          <t>Fe₃O₄</t>
        </is>
      </c>
      <c r="E5" s="7" t="inlineStr">
        <is>
          <t>四酸化三鉄</t>
        </is>
      </c>
      <c r="F5" s="8" t="inlineStr">
        <is>
          <t>化合物</t>
        </is>
      </c>
    </row>
    <row r="6">
      <c r="A6" s="9" t="n">
        <v>2</v>
      </c>
      <c r="B6" s="17" t="inlineStr">
        <is>
          <t>出題なし</t>
        </is>
      </c>
      <c r="C6" s="10" t="inlineStr">
        <is>
          <t>C6H12O6</t>
        </is>
      </c>
      <c r="D6" s="10" t="inlineStr">
        <is>
          <t>C₆H₁₂O₆</t>
        </is>
      </c>
      <c r="E6" s="11" t="inlineStr">
        <is>
          <t>ブドウ糖</t>
        </is>
      </c>
      <c r="F6" s="12" t="inlineStr">
        <is>
          <t>化合物</t>
        </is>
      </c>
    </row>
    <row r="7">
      <c r="A7" s="4" t="n">
        <v>3</v>
      </c>
      <c r="B7" s="16" t="inlineStr">
        <is>
          <t>出題なし</t>
        </is>
      </c>
      <c r="C7" s="6" t="inlineStr">
        <is>
          <t>AgNO3</t>
        </is>
      </c>
      <c r="D7" s="6" t="inlineStr">
        <is>
          <t>AgNO₃</t>
        </is>
      </c>
      <c r="E7" s="7" t="inlineStr">
        <is>
          <t>硝酸銀</t>
        </is>
      </c>
      <c r="F7" s="8" t="inlineStr">
        <is>
          <t>化合物</t>
        </is>
      </c>
    </row>
    <row r="8">
      <c r="A8" s="9" t="n">
        <v>4</v>
      </c>
      <c r="B8" s="17" t="inlineStr">
        <is>
          <t>出題なし</t>
        </is>
      </c>
      <c r="C8" s="10" t="inlineStr">
        <is>
          <t>AgCl</t>
        </is>
      </c>
      <c r="D8" s="10" t="inlineStr">
        <is>
          <t>AgCl</t>
        </is>
      </c>
      <c r="E8" s="11" t="inlineStr">
        <is>
          <t>塩化銀</t>
        </is>
      </c>
      <c r="F8" s="12" t="inlineStr">
        <is>
          <t>化合物</t>
        </is>
      </c>
    </row>
    <row r="9">
      <c r="A9" s="4" t="n">
        <v>5</v>
      </c>
      <c r="B9" s="16" t="inlineStr">
        <is>
          <t>出題なし</t>
        </is>
      </c>
      <c r="C9" s="6" t="inlineStr">
        <is>
          <t>NaNO3</t>
        </is>
      </c>
      <c r="D9" s="6" t="inlineStr">
        <is>
          <t>NaNO₃</t>
        </is>
      </c>
      <c r="E9" s="7" t="inlineStr">
        <is>
          <t>硝酸ナトリウム</t>
        </is>
      </c>
      <c r="F9" s="8" t="inlineStr">
        <is>
          <t>化合物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2026-09-15T23:32:33Z</dcterms:created>
  <dcterms:modified xsi:type="dcterms:W3CDTF">2026-09-15T23:32:33Z</dcterms:modified>
</cp:coreProperties>
</file>